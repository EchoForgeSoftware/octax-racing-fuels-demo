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  <sheet sheetId="2" name="Quote" state="visible" r:id="rId5"/>
  </sheets>
  <definedNames>
    <definedName name="_xlnm.Print_Area" localSheetId="0">'Invoice'!$A1:$D48</definedName>
    <definedName name="_xlnm.Print_Area" localSheetId="1">'Quote'!$A1:$D46</definedName>
  </definedNames>
  <calcPr calcId="171027"/>
</workbook>
</file>

<file path=xl/sharedStrings.xml><?xml version="1.0" encoding="utf-8"?>
<sst xmlns="http://schemas.openxmlformats.org/spreadsheetml/2006/main" count="77" uniqueCount="45">
  <si>
    <t>OCTA PERFORMANCE</t>
  </si>
  <si>
    <t>ZRG-X (PTY) LTD · Reg. 2026/667453/07 · accounts@octa-boost.com</t>
  </si>
  <si>
    <t>INVOICE</t>
  </si>
  <si>
    <t>Invoice no.</t>
  </si>
  <si>
    <t>INV-0000</t>
  </si>
  <si>
    <t>Date</t>
  </si>
  <si>
    <t>Due date</t>
  </si>
  <si>
    <t>Reference</t>
  </si>
  <si>
    <t/>
  </si>
  <si>
    <t>BILL TO</t>
  </si>
  <si>
    <t>Name / company</t>
  </si>
  <si>
    <t>Contact person</t>
  </si>
  <si>
    <t>Address</t>
  </si>
  <si>
    <t>Email / phone</t>
  </si>
  <si>
    <t>VAT number (if any)</t>
  </si>
  <si>
    <t>DESCRIPTION</t>
  </si>
  <si>
    <t>QTY</t>
  </si>
  <si>
    <t>UNIT PRICE</t>
  </si>
  <si>
    <t>LINE TOTAL</t>
  </si>
  <si>
    <t>e.g. OCTA-X Ethanol 96% - 25L plastic drum</t>
  </si>
  <si>
    <t>No VAT charged: the supplier is not registered for VAT.</t>
  </si>
  <si>
    <t>Subtotal</t>
  </si>
  <si>
    <t>Courier: R200 per pack; free on 10+ of the same 5L/25L or 12+ x 500ml. 210L drums R200 each.</t>
  </si>
  <si>
    <t>Courier</t>
  </si>
  <si>
    <t>Total</t>
  </si>
  <si>
    <t>Paid</t>
  </si>
  <si>
    <t>Balance due</t>
  </si>
  <si>
    <t>PAY BY EFT</t>
  </si>
  <si>
    <t xml:space="preserve">Account holder:  </t>
  </si>
  <si>
    <t>ZRG-X (PTY) LTD</t>
  </si>
  <si>
    <t xml:space="preserve">Bank:  </t>
  </si>
  <si>
    <t>FNB (First National Bank)</t>
  </si>
  <si>
    <t xml:space="preserve">Account number:  </t>
  </si>
  <si>
    <t>63226106151</t>
  </si>
  <si>
    <t xml:space="preserve">Branch code:  </t>
  </si>
  <si>
    <t>252605</t>
  </si>
  <si>
    <t xml:space="preserve">Account type:  </t>
  </si>
  <si>
    <t>Gold Business Account</t>
  </si>
  <si>
    <t xml:space="preserve">Reference:  </t>
  </si>
  <si>
    <t>Thank you for your business. Fuel the addiction.</t>
  </si>
  <si>
    <t>QUOTATION</t>
  </si>
  <si>
    <t>Quote no.</t>
  </si>
  <si>
    <t>QUO-0000</t>
  </si>
  <si>
    <t>Valid until</t>
  </si>
  <si>
    <t>Quote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</si>
</sst>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 mmm yyyy"/>
    <numFmt numFmtId="165" formatCode="&quot;R&quot; #,##0.00"/>
  </numFmts>
  <fonts count="16" x14ac:knownFonts="1">
    <font>
      <color theme="1"/>
      <family val="2"/>
      <scheme val="minor"/>
      <sz val="11"/>
      <name val="Calibri"/>
    </font>
    <font>
      <color rgb="FFB0F043"/>
      <sz val="20"/>
      <name val="Arial Black"/>
    </font>
    <font>
      <color rgb="FFF2F0E7"/>
      <sz val="9"/>
    </font>
    <font>
      <sz val="16"/>
      <name val="Arial Black"/>
    </font>
    <font>
      <b/>
      <sz val="9"/>
    </font>
    <font>
      <b/>
      <color rgb="FF6B6660"/>
      <sz val="9"/>
    </font>
    <font>
      <i/>
      <color rgb="FF9A958C"/>
    </font>
    <font>
      <b/>
      <color rgb="FFF2F0E7"/>
      <sz val="9"/>
    </font>
    <font>
      <color rgb="FF6B6660"/>
      <sz val="9"/>
    </font>
    <font>
      <b/>
    </font>
    <font/>
    <font>
      <color rgb="FF6B6660"/>
      <sz val="8"/>
    </font>
    <font>
      <b/>
      <color rgb="FFFFFFFF"/>
    </font>
    <font>
      <b/>
      <color rgb="FF140E09"/>
    </font>
    <font>
      <sz val="9"/>
    </font>
    <font>
      <i/>
      <sz val="9"/>
    </font>
  </fonts>
  <fills count="6">
    <fill>
      <patternFill patternType="none"/>
    </fill>
    <fill>
      <patternFill patternType="gray125"/>
    </fill>
    <fill>
      <patternFill patternType="solid">
        <fgColor rgb="FF140E09"/>
      </patternFill>
    </fill>
    <fill>
      <patternFill patternType="solid">
        <fgColor rgb="FFF2F0E7"/>
      </patternFill>
    </fill>
    <fill>
      <patternFill patternType="solid">
        <fgColor rgb="FFD52200"/>
      </patternFill>
    </fill>
    <fill>
      <patternFill patternType="solid">
        <fgColor rgb="FFB0F043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/>
      <bottom style="hair"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0" fillId="0" borderId="1" xfId="0" applyBorder="1"/>
    <xf numFmtId="164" fontId="0" fillId="0" borderId="1" xfId="0" applyNumberFormat="1" applyBorder="1"/>
    <xf numFmtId="0" fontId="5" fillId="0" borderId="0" xfId="0" applyFont="1"/>
    <xf numFmtId="0" fontId="6" fillId="0" borderId="2" xfId="0" applyFont="1" applyBorder="1"/>
    <xf numFmtId="0" fontId="7" fillId="2" borderId="0" xfId="0" applyFont="1" applyFill="1" applyAlignment="1">
      <alignment horizontal="left"/>
    </xf>
    <xf numFmtId="0" fontId="7" fillId="2" borderId="0" xfId="0" applyFont="1" applyFill="1" applyAlignment="1">
      <alignment horizontal="right"/>
    </xf>
    <xf numFmtId="0" fontId="6" fillId="0" borderId="0" xfId="0" applyFont="1"/>
    <xf numFmtId="165" fontId="0" fillId="0" borderId="0" xfId="0" applyNumberFormat="1"/>
    <xf numFmtId="0" fontId="0" fillId="3" borderId="0" xfId="0" applyFill="1"/>
    <xf numFmtId="165" fontId="0" fillId="3" borderId="0" xfId="0" applyNumberFormat="1" applyFill="1"/>
    <xf numFmtId="0" fontId="8" fillId="0" borderId="0" xfId="0" applyFont="1"/>
    <xf numFmtId="0" fontId="9" fillId="0" borderId="0" xfId="0" applyFont="1"/>
    <xf numFmtId="165" fontId="10" fillId="0" borderId="0" xfId="0" applyNumberFormat="1" applyFont="1"/>
    <xf numFmtId="0" fontId="11" fillId="0" borderId="0" xfId="0" applyFont="1" applyAlignment="1">
      <alignment wrapText="1"/>
    </xf>
    <xf numFmtId="165" fontId="9" fillId="0" borderId="3" xfId="0" applyNumberFormat="1" applyFont="1" applyBorder="1"/>
    <xf numFmtId="0" fontId="12" fillId="4" borderId="0" xfId="0" applyFont="1" applyFill="1"/>
    <xf numFmtId="165" fontId="12" fillId="4" borderId="0" xfId="0" applyNumberFormat="1" applyFont="1" applyFill="1"/>
    <xf numFmtId="0" fontId="13" fillId="5" borderId="0" xfId="0" applyFont="1" applyFill="1"/>
    <xf numFmtId="0" fontId="14" fillId="0" borderId="0" xfId="0" applyFont="1" applyAlignment="1">
      <alignment horizontal="right"/>
    </xf>
    <xf numFmtId="0" fontId="1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8"/>
  <sheetViews>
    <sheetView workbookViewId="0" showGridLines="0"/>
  </sheetViews>
  <sheetFormatPr defaultRowHeight="15" outlineLevelRow="0" outlineLevelCol="0" x14ac:dyDescent="55"/>
  <cols>
    <col min="1" max="1" width="46" customWidth="1"/>
    <col min="2" max="2" width="10" customWidth="1"/>
    <col min="3" max="3" width="16" customWidth="1"/>
    <col min="4" max="4" width="18" customWidth="1"/>
  </cols>
  <sheetData>
    <row r="1" ht="34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4" x14ac:dyDescent="0.25">
      <c r="A4" s="3" t="s">
        <v>2</v>
      </c>
      <c r="C4" s="4" t="s">
        <v>3</v>
      </c>
      <c r="D4" s="5" t="s">
        <v>4</v>
      </c>
    </row>
    <row r="5" spans="3:4" x14ac:dyDescent="0.25">
      <c r="C5" s="4" t="s">
        <v>5</v>
      </c>
      <c r="D5" s="6">
        <f>TODAY()</f>
      </c>
    </row>
    <row r="6" spans="3:4" x14ac:dyDescent="0.25">
      <c r="C6" s="4" t="s">
        <v>6</v>
      </c>
      <c r="D6" s="6">
        <f>D5+7</f>
      </c>
    </row>
    <row r="7" spans="3:4" x14ac:dyDescent="0.25">
      <c r="C7" s="4" t="s">
        <v>7</v>
      </c>
      <c r="D7" s="5" t="s">
        <v>8</v>
      </c>
    </row>
    <row r="9" spans="1:1" x14ac:dyDescent="0.25">
      <c r="A9" s="7" t="s">
        <v>9</v>
      </c>
    </row>
    <row r="10" spans="1:1" x14ac:dyDescent="0.25">
      <c r="A10" s="8" t="s">
        <v>10</v>
      </c>
    </row>
    <row r="11" spans="1:1" x14ac:dyDescent="0.25">
      <c r="A11" s="8" t="s">
        <v>11</v>
      </c>
    </row>
    <row r="12" spans="1:1" x14ac:dyDescent="0.25">
      <c r="A12" s="8" t="s">
        <v>12</v>
      </c>
    </row>
    <row r="13" spans="1:1" x14ac:dyDescent="0.25">
      <c r="A13" s="8" t="s">
        <v>13</v>
      </c>
    </row>
    <row r="14" spans="1:1" x14ac:dyDescent="0.25">
      <c r="A14" s="8" t="s">
        <v>14</v>
      </c>
    </row>
    <row r="16" spans="1:4" x14ac:dyDescent="0.25">
      <c r="A16" s="9" t="s">
        <v>15</v>
      </c>
      <c r="B16" s="10" t="s">
        <v>16</v>
      </c>
      <c r="C16" s="10" t="s">
        <v>17</v>
      </c>
      <c r="D16" s="10" t="s">
        <v>18</v>
      </c>
    </row>
    <row r="17" spans="1:4" x14ac:dyDescent="0.25">
      <c r="A17" s="11" t="s">
        <v>19</v>
      </c>
      <c r="C17" s="12"/>
      <c r="D17" s="12">
        <f>IF(OR(B17="",C17=""),"",B17*C17)</f>
      </c>
    </row>
    <row r="18" spans="1:4" x14ac:dyDescent="0.25">
      <c r="A18" s="13"/>
      <c r="B18" s="13"/>
      <c r="C18" s="14"/>
      <c r="D18" s="14">
        <f>IF(OR(B18="",C18=""),"",B18*C18)</f>
      </c>
    </row>
    <row r="19" spans="3:4" x14ac:dyDescent="0.25">
      <c r="C19" s="12"/>
      <c r="D19" s="12">
        <f>IF(OR(B19="",C19=""),"",B19*C19)</f>
      </c>
    </row>
    <row r="20" spans="1:4" x14ac:dyDescent="0.25">
      <c r="A20" s="13"/>
      <c r="B20" s="13"/>
      <c r="C20" s="14"/>
      <c r="D20" s="14">
        <f>IF(OR(B20="",C20=""),"",B20*C20)</f>
      </c>
    </row>
    <row r="21" spans="3:4" x14ac:dyDescent="0.25">
      <c r="C21" s="12"/>
      <c r="D21" s="12">
        <f>IF(OR(B21="",C21=""),"",B21*C21)</f>
      </c>
    </row>
    <row r="22" spans="1:4" x14ac:dyDescent="0.25">
      <c r="A22" s="13"/>
      <c r="B22" s="13"/>
      <c r="C22" s="14"/>
      <c r="D22" s="14">
        <f>IF(OR(B22="",C22=""),"",B22*C22)</f>
      </c>
    </row>
    <row r="23" spans="3:4" x14ac:dyDescent="0.25">
      <c r="C23" s="12"/>
      <c r="D23" s="12">
        <f>IF(OR(B23="",C23=""),"",B23*C23)</f>
      </c>
    </row>
    <row r="24" spans="1:4" x14ac:dyDescent="0.25">
      <c r="A24" s="13"/>
      <c r="B24" s="13"/>
      <c r="C24" s="14"/>
      <c r="D24" s="14">
        <f>IF(OR(B24="",C24=""),"",B24*C24)</f>
      </c>
    </row>
    <row r="25" spans="3:4" x14ac:dyDescent="0.25">
      <c r="C25" s="12"/>
      <c r="D25" s="12">
        <f>IF(OR(B25="",C25=""),"",B25*C25)</f>
      </c>
    </row>
    <row r="26" spans="1:4" x14ac:dyDescent="0.25">
      <c r="A26" s="13"/>
      <c r="B26" s="13"/>
      <c r="C26" s="14"/>
      <c r="D26" s="14">
        <f>IF(OR(B26="",C26=""),"",B26*C26)</f>
      </c>
    </row>
    <row r="27" spans="3:4" x14ac:dyDescent="0.25">
      <c r="C27" s="12"/>
      <c r="D27" s="12">
        <f>IF(OR(B27="",C27=""),"",B27*C27)</f>
      </c>
    </row>
    <row r="28" spans="1:4" x14ac:dyDescent="0.25">
      <c r="A28" s="13"/>
      <c r="B28" s="13"/>
      <c r="C28" s="14"/>
      <c r="D28" s="14">
        <f>IF(OR(B28="",C28=""),"",B28*C28)</f>
      </c>
    </row>
    <row r="29" spans="3:4" x14ac:dyDescent="0.25">
      <c r="C29" s="12"/>
      <c r="D29" s="12">
        <f>IF(OR(B29="",C29=""),"",B29*C29)</f>
      </c>
    </row>
    <row r="30" spans="1:4" x14ac:dyDescent="0.25">
      <c r="A30" s="13"/>
      <c r="B30" s="13"/>
      <c r="C30" s="14"/>
      <c r="D30" s="14">
        <f>IF(OR(B30="",C30=""),"",B30*C30)</f>
      </c>
    </row>
    <row r="31" spans="3:4" x14ac:dyDescent="0.25">
      <c r="C31" s="12"/>
      <c r="D31" s="12">
        <f>IF(OR(B31="",C31=""),"",B31*C31)</f>
      </c>
    </row>
    <row r="33" spans="1:4" x14ac:dyDescent="0.25">
      <c r="A33" s="15" t="s">
        <v>20</v>
      </c>
      <c r="C33" s="16" t="s">
        <v>21</v>
      </c>
      <c r="D33" s="17">
        <f>SUM(D17:D31)</f>
      </c>
    </row>
    <row r="34" spans="1:4" x14ac:dyDescent="0.25">
      <c r="A34" s="18" t="s">
        <v>22</v>
      </c>
      <c r="C34" s="16" t="s">
        <v>23</v>
      </c>
      <c r="D34" s="17">
        <v>0</v>
      </c>
    </row>
    <row r="35" spans="3:4" x14ac:dyDescent="0.25">
      <c r="C35" s="16" t="s">
        <v>24</v>
      </c>
      <c r="D35" s="19">
        <f>D33+D34</f>
      </c>
    </row>
    <row r="36" spans="3:4" x14ac:dyDescent="0.25">
      <c r="C36" s="16" t="s">
        <v>25</v>
      </c>
      <c r="D36" s="17">
        <v>0</v>
      </c>
    </row>
    <row r="37" spans="3:4" x14ac:dyDescent="0.25">
      <c r="C37" s="20" t="s">
        <v>26</v>
      </c>
      <c r="D37" s="21">
        <f>D35-D36</f>
      </c>
    </row>
    <row r="40" spans="1:1" x14ac:dyDescent="0.25">
      <c r="A40" s="22" t="s">
        <v>27</v>
      </c>
    </row>
    <row r="41" spans="1:4" x14ac:dyDescent="0.25">
      <c r="A41" s="23" t="s">
        <v>28</v>
      </c>
      <c r="B41" s="4" t="s">
        <v>29</v>
      </c>
      <c r="C41" s="4"/>
      <c r="D41" s="4"/>
    </row>
    <row r="42" spans="1:4" x14ac:dyDescent="0.25">
      <c r="A42" s="23" t="s">
        <v>30</v>
      </c>
      <c r="B42" s="4" t="s">
        <v>31</v>
      </c>
      <c r="C42" s="4"/>
      <c r="D42" s="4"/>
    </row>
    <row r="43" spans="1:4" x14ac:dyDescent="0.25">
      <c r="A43" s="23" t="s">
        <v>32</v>
      </c>
      <c r="B43" s="4" t="s">
        <v>33</v>
      </c>
      <c r="C43" s="4"/>
      <c r="D43" s="4"/>
    </row>
    <row r="44" spans="1:4" x14ac:dyDescent="0.25">
      <c r="A44" s="23" t="s">
        <v>34</v>
      </c>
      <c r="B44" s="4" t="s">
        <v>35</v>
      </c>
      <c r="C44" s="4"/>
      <c r="D44" s="4"/>
    </row>
    <row r="45" spans="1:4" x14ac:dyDescent="0.25">
      <c r="A45" s="23" t="s">
        <v>36</v>
      </c>
      <c r="B45" s="4" t="s">
        <v>37</v>
      </c>
      <c r="C45" s="4"/>
      <c r="D45" s="4"/>
    </row>
    <row r="46" spans="1:4" x14ac:dyDescent="0.25">
      <c r="A46" s="23" t="s">
        <v>38</v>
      </c>
      <c r="B46" s="4">
        <f>D4</f>
      </c>
      <c r="C46" s="4"/>
      <c r="D46" s="4"/>
    </row>
    <row r="48" spans="1:4" x14ac:dyDescent="0.25">
      <c r="A48" s="24" t="s">
        <v>39</v>
      </c>
      <c r="B48" s="24"/>
      <c r="C48" s="24"/>
      <c r="D48" s="24"/>
    </row>
  </sheetData>
  <mergeCells count="9">
    <mergeCell ref="A1:D1"/>
    <mergeCell ref="A2:D2"/>
    <mergeCell ref="B41:D41"/>
    <mergeCell ref="B42:D42"/>
    <mergeCell ref="B43:D43"/>
    <mergeCell ref="B44:D44"/>
    <mergeCell ref="B45:D45"/>
    <mergeCell ref="B46:D46"/>
    <mergeCell ref="A48:D48"/>
  </mergeCells>
  <pageMargins left="0.5" right="0.5" top="0.6" bottom="0.6" header="0.3" footer="0.3"/>
  <pageSetup paperSize="9"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6"/>
  <sheetViews>
    <sheetView workbookViewId="0" showGridLines="0"/>
  </sheetViews>
  <sheetFormatPr defaultRowHeight="15" outlineLevelRow="0" outlineLevelCol="0" x14ac:dyDescent="55"/>
  <cols>
    <col min="1" max="1" width="46" customWidth="1"/>
    <col min="2" max="2" width="10" customWidth="1"/>
    <col min="3" max="3" width="16" customWidth="1"/>
    <col min="4" max="4" width="18" customWidth="1"/>
  </cols>
  <sheetData>
    <row r="1" ht="34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4" x14ac:dyDescent="0.25">
      <c r="A4" s="3" t="s">
        <v>40</v>
      </c>
      <c r="C4" s="4" t="s">
        <v>41</v>
      </c>
      <c r="D4" s="5" t="s">
        <v>42</v>
      </c>
    </row>
    <row r="5" spans="3:4" x14ac:dyDescent="0.25">
      <c r="C5" s="4" t="s">
        <v>5</v>
      </c>
      <c r="D5" s="6">
        <f>TODAY()</f>
      </c>
    </row>
    <row r="6" spans="3:4" x14ac:dyDescent="0.25">
      <c r="C6" s="4" t="s">
        <v>43</v>
      </c>
      <c r="D6" s="6">
        <f>D5+14</f>
      </c>
    </row>
    <row r="9" spans="1:1" x14ac:dyDescent="0.25">
      <c r="A9" s="7" t="s">
        <v>9</v>
      </c>
    </row>
    <row r="10" spans="1:1" x14ac:dyDescent="0.25">
      <c r="A10" s="8" t="s">
        <v>10</v>
      </c>
    </row>
    <row r="11" spans="1:1" x14ac:dyDescent="0.25">
      <c r="A11" s="8" t="s">
        <v>11</v>
      </c>
    </row>
    <row r="12" spans="1:1" x14ac:dyDescent="0.25">
      <c r="A12" s="8" t="s">
        <v>12</v>
      </c>
    </row>
    <row r="13" spans="1:1" x14ac:dyDescent="0.25">
      <c r="A13" s="8" t="s">
        <v>13</v>
      </c>
    </row>
    <row r="14" spans="1:1" x14ac:dyDescent="0.25">
      <c r="A14" s="8" t="s">
        <v>14</v>
      </c>
    </row>
    <row r="16" spans="1:4" x14ac:dyDescent="0.25">
      <c r="A16" s="9" t="s">
        <v>15</v>
      </c>
      <c r="B16" s="10" t="s">
        <v>16</v>
      </c>
      <c r="C16" s="10" t="s">
        <v>17</v>
      </c>
      <c r="D16" s="10" t="s">
        <v>18</v>
      </c>
    </row>
    <row r="17" spans="1:4" x14ac:dyDescent="0.25">
      <c r="A17" s="11" t="s">
        <v>19</v>
      </c>
      <c r="C17" s="12"/>
      <c r="D17" s="12">
        <f>IF(OR(B17="",C17=""),"",B17*C17)</f>
      </c>
    </row>
    <row r="18" spans="1:4" x14ac:dyDescent="0.25">
      <c r="A18" s="13"/>
      <c r="B18" s="13"/>
      <c r="C18" s="14"/>
      <c r="D18" s="14">
        <f>IF(OR(B18="",C18=""),"",B18*C18)</f>
      </c>
    </row>
    <row r="19" spans="3:4" x14ac:dyDescent="0.25">
      <c r="C19" s="12"/>
      <c r="D19" s="12">
        <f>IF(OR(B19="",C19=""),"",B19*C19)</f>
      </c>
    </row>
    <row r="20" spans="1:4" x14ac:dyDescent="0.25">
      <c r="A20" s="13"/>
      <c r="B20" s="13"/>
      <c r="C20" s="14"/>
      <c r="D20" s="14">
        <f>IF(OR(B20="",C20=""),"",B20*C20)</f>
      </c>
    </row>
    <row r="21" spans="3:4" x14ac:dyDescent="0.25">
      <c r="C21" s="12"/>
      <c r="D21" s="12">
        <f>IF(OR(B21="",C21=""),"",B21*C21)</f>
      </c>
    </row>
    <row r="22" spans="1:4" x14ac:dyDescent="0.25">
      <c r="A22" s="13"/>
      <c r="B22" s="13"/>
      <c r="C22" s="14"/>
      <c r="D22" s="14">
        <f>IF(OR(B22="",C22=""),"",B22*C22)</f>
      </c>
    </row>
    <row r="23" spans="3:4" x14ac:dyDescent="0.25">
      <c r="C23" s="12"/>
      <c r="D23" s="12">
        <f>IF(OR(B23="",C23=""),"",B23*C23)</f>
      </c>
    </row>
    <row r="24" spans="1:4" x14ac:dyDescent="0.25">
      <c r="A24" s="13"/>
      <c r="B24" s="13"/>
      <c r="C24" s="14"/>
      <c r="D24" s="14">
        <f>IF(OR(B24="",C24=""),"",B24*C24)</f>
      </c>
    </row>
    <row r="25" spans="3:4" x14ac:dyDescent="0.25">
      <c r="C25" s="12"/>
      <c r="D25" s="12">
        <f>IF(OR(B25="",C25=""),"",B25*C25)</f>
      </c>
    </row>
    <row r="26" spans="1:4" x14ac:dyDescent="0.25">
      <c r="A26" s="13"/>
      <c r="B26" s="13"/>
      <c r="C26" s="14"/>
      <c r="D26" s="14">
        <f>IF(OR(B26="",C26=""),"",B26*C26)</f>
      </c>
    </row>
    <row r="27" spans="3:4" x14ac:dyDescent="0.25">
      <c r="C27" s="12"/>
      <c r="D27" s="12">
        <f>IF(OR(B27="",C27=""),"",B27*C27)</f>
      </c>
    </row>
    <row r="28" spans="1:4" x14ac:dyDescent="0.25">
      <c r="A28" s="13"/>
      <c r="B28" s="13"/>
      <c r="C28" s="14"/>
      <c r="D28" s="14">
        <f>IF(OR(B28="",C28=""),"",B28*C28)</f>
      </c>
    </row>
    <row r="29" spans="3:4" x14ac:dyDescent="0.25">
      <c r="C29" s="12"/>
      <c r="D29" s="12">
        <f>IF(OR(B29="",C29=""),"",B29*C29)</f>
      </c>
    </row>
    <row r="30" spans="1:4" x14ac:dyDescent="0.25">
      <c r="A30" s="13"/>
      <c r="B30" s="13"/>
      <c r="C30" s="14"/>
      <c r="D30" s="14">
        <f>IF(OR(B30="",C30=""),"",B30*C30)</f>
      </c>
    </row>
    <row r="31" spans="3:4" x14ac:dyDescent="0.25">
      <c r="C31" s="12"/>
      <c r="D31" s="12">
        <f>IF(OR(B31="",C31=""),"",B31*C31)</f>
      </c>
    </row>
    <row r="33" spans="1:4" x14ac:dyDescent="0.25">
      <c r="A33" s="15" t="s">
        <v>20</v>
      </c>
      <c r="C33" s="16" t="s">
        <v>21</v>
      </c>
      <c r="D33" s="17">
        <f>SUM(D17:D31)</f>
      </c>
    </row>
    <row r="34" spans="1:4" x14ac:dyDescent="0.25">
      <c r="A34" s="18" t="s">
        <v>22</v>
      </c>
      <c r="C34" s="16" t="s">
        <v>23</v>
      </c>
      <c r="D34" s="17">
        <v>0</v>
      </c>
    </row>
    <row r="35" spans="3:4" x14ac:dyDescent="0.25">
      <c r="C35" s="16" t="s">
        <v>24</v>
      </c>
      <c r="D35" s="19">
        <f>D33+D34</f>
      </c>
    </row>
    <row r="38" spans="1:1" x14ac:dyDescent="0.25">
      <c r="A38" s="22" t="s">
        <v>27</v>
      </c>
    </row>
    <row r="39" spans="1:4" x14ac:dyDescent="0.25">
      <c r="A39" s="23" t="s">
        <v>28</v>
      </c>
      <c r="B39" s="4" t="s">
        <v>29</v>
      </c>
      <c r="C39" s="4"/>
      <c r="D39" s="4"/>
    </row>
    <row r="40" spans="1:4" x14ac:dyDescent="0.25">
      <c r="A40" s="23" t="s">
        <v>30</v>
      </c>
      <c r="B40" s="4" t="s">
        <v>31</v>
      </c>
      <c r="C40" s="4"/>
      <c r="D40" s="4"/>
    </row>
    <row r="41" spans="1:4" x14ac:dyDescent="0.25">
      <c r="A41" s="23" t="s">
        <v>32</v>
      </c>
      <c r="B41" s="4" t="s">
        <v>33</v>
      </c>
      <c r="C41" s="4"/>
      <c r="D41" s="4"/>
    </row>
    <row r="42" spans="1:4" x14ac:dyDescent="0.25">
      <c r="A42" s="23" t="s">
        <v>34</v>
      </c>
      <c r="B42" s="4" t="s">
        <v>35</v>
      </c>
      <c r="C42" s="4"/>
      <c r="D42" s="4"/>
    </row>
    <row r="43" spans="1:4" x14ac:dyDescent="0.25">
      <c r="A43" s="23" t="s">
        <v>36</v>
      </c>
      <c r="B43" s="4" t="s">
        <v>37</v>
      </c>
      <c r="C43" s="4"/>
      <c r="D43" s="4"/>
    </row>
    <row r="44" spans="1:4" x14ac:dyDescent="0.25">
      <c r="A44" s="23" t="s">
        <v>38</v>
      </c>
      <c r="B44" s="4" t="s">
        <v>44</v>
      </c>
      <c r="C44" s="4"/>
      <c r="D44" s="4"/>
    </row>
    <row r="46" spans="1:4" x14ac:dyDescent="0.25">
      <c r="A46" s="24" t="s">
        <v>39</v>
      </c>
      <c r="B46" s="24"/>
      <c r="C46" s="24"/>
      <c r="D46" s="24"/>
    </row>
  </sheetData>
  <mergeCells count="9">
    <mergeCell ref="A1:D1"/>
    <mergeCell ref="A2:D2"/>
    <mergeCell ref="B39:D39"/>
    <mergeCell ref="B40:D40"/>
    <mergeCell ref="B41:D41"/>
    <mergeCell ref="B42:D42"/>
    <mergeCell ref="B43:D43"/>
    <mergeCell ref="B44:D44"/>
    <mergeCell ref="A46:D46"/>
  </mergeCells>
  <pageMargins left="0.5" right="0.5" top="0.6" bottom="0.6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Quote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ZRG-X (PTY) LTD</dc:creator>
  <dc:title/>
  <dc:subject/>
  <dc:description/>
  <cp:keywords/>
  <cp:category/>
  <cp:lastModifiedBy>Unknown</cp:lastModifiedBy>
  <dcterms:created xsi:type="dcterms:W3CDTF">2026-10-16T00:00:00Z</dcterms:created>
  <dcterms:modified xsi:type="dcterms:W3CDTF">2026-10-18T11:57:50Z</dcterms:modified>
</cp:coreProperties>
</file>